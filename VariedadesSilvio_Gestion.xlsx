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Movimiento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&quot;%&quot;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  <sz val="11"/>
    </font>
    <font>
      <b val="1"/>
    </font>
    <font>
      <b val="1"/>
      <color rgb="00006100"/>
      <sz val="10"/>
    </font>
    <font>
      <b val="1"/>
      <color rgb="009C0006"/>
      <sz val="10"/>
    </font>
    <font>
      <b val="1"/>
      <color rgb="00006100"/>
    </font>
    <font>
      <b val="1"/>
      <color rgb="009C0006"/>
    </font>
    <font>
      <b val="1"/>
      <color rgb="001F4E78"/>
      <sz val="16"/>
    </font>
    <font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1E6B3C"/>
        <bgColor rgb="001E6B3C"/>
      </patternFill>
    </fill>
    <fill>
      <patternFill patternType="solid">
        <fgColor rgb="00D9E1F2"/>
        <bgColor rgb="00D9E1F2"/>
      </patternFill>
    </fill>
    <fill>
      <patternFill patternType="solid">
        <fgColor rgb="00203764"/>
        <bgColor rgb="0020376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C55A11"/>
        <bgColor rgb="00C55A1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6" customWidth="1" min="4" max="4"/>
    <col width="16" customWidth="1" min="5" max="5"/>
    <col width="12" customWidth="1" min="6" max="6"/>
    <col width="10" customWidth="1" min="7" max="7"/>
    <col width="12" customWidth="1" min="8" max="8"/>
    <col width="14" customWidth="1" min="9" max="9"/>
    <col width="16" customWidth="1" min="10" max="10"/>
  </cols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Precio Costo ($)</t>
        </is>
      </c>
      <c r="E1" s="1" t="inlineStr">
        <is>
          <t>Precio Venta ($)</t>
        </is>
      </c>
      <c r="F1" s="1" t="inlineStr">
        <is>
          <t>Margen %</t>
        </is>
      </c>
      <c r="G1" s="1" t="inlineStr">
        <is>
          <t>Stock</t>
        </is>
      </c>
      <c r="H1" s="1" t="inlineStr">
        <is>
          <t>Stock Mínimo</t>
        </is>
      </c>
      <c r="I1" s="1" t="inlineStr">
        <is>
          <t>Estado</t>
        </is>
      </c>
      <c r="J1" s="1" t="inlineStr">
        <is>
          <t>Valor Total ($)</t>
        </is>
      </c>
    </row>
    <row r="2">
      <c r="A2" s="2" t="inlineStr">
        <is>
          <t>prod-1</t>
        </is>
      </c>
      <c r="B2" s="2" t="inlineStr">
        <is>
          <t>Jeans Slim Fit Masculino</t>
        </is>
      </c>
      <c r="C2" s="2" t="inlineStr">
        <is>
          <t>Ropa Masculina</t>
        </is>
      </c>
      <c r="D2" s="3" t="n">
        <v>20</v>
      </c>
      <c r="E2" s="3" t="n">
        <v>45</v>
      </c>
      <c r="F2" s="4" t="inlineStr">
        <is>
          <t>125%</t>
        </is>
      </c>
      <c r="G2" s="4" t="n">
        <v>18</v>
      </c>
      <c r="H2" s="4" t="n">
        <v>5</v>
      </c>
      <c r="I2" s="5" t="inlineStr">
        <is>
          <t>Saludable</t>
        </is>
      </c>
      <c r="J2" s="3" t="n">
        <v>360</v>
      </c>
    </row>
    <row r="3">
      <c r="A3" s="6" t="inlineStr">
        <is>
          <t>prod-2</t>
        </is>
      </c>
      <c r="B3" s="6" t="inlineStr">
        <is>
          <t>Camiseta Básica de Algodón</t>
        </is>
      </c>
      <c r="C3" s="6" t="inlineStr">
        <is>
          <t>Ropa Masculina</t>
        </is>
      </c>
      <c r="D3" s="7" t="n">
        <v>8</v>
      </c>
      <c r="E3" s="7" t="n">
        <v>18</v>
      </c>
      <c r="F3" s="8" t="inlineStr">
        <is>
          <t>125%</t>
        </is>
      </c>
      <c r="G3" s="8" t="n">
        <v>35</v>
      </c>
      <c r="H3" s="8" t="n">
        <v>10</v>
      </c>
      <c r="I3" s="9" t="inlineStr">
        <is>
          <t>Saludable</t>
        </is>
      </c>
      <c r="J3" s="7" t="n">
        <v>280</v>
      </c>
    </row>
    <row r="4">
      <c r="A4" s="2" t="inlineStr">
        <is>
          <t>prod-3</t>
        </is>
      </c>
      <c r="B4" s="2" t="inlineStr">
        <is>
          <t>Vestido Elegante de Gala Femenino</t>
        </is>
      </c>
      <c r="C4" s="2" t="inlineStr">
        <is>
          <t>Ropa Femenina</t>
        </is>
      </c>
      <c r="D4" s="3" t="n">
        <v>45</v>
      </c>
      <c r="E4" s="3" t="n">
        <v>95</v>
      </c>
      <c r="F4" s="4" t="inlineStr">
        <is>
          <t>111%</t>
        </is>
      </c>
      <c r="G4" s="4" t="n">
        <v>4</v>
      </c>
      <c r="H4" s="4" t="n">
        <v>2</v>
      </c>
      <c r="I4" s="5" t="inlineStr">
        <is>
          <t>Saludable</t>
        </is>
      </c>
      <c r="J4" s="3" t="n">
        <v>180</v>
      </c>
    </row>
    <row r="5">
      <c r="A5" s="6" t="inlineStr">
        <is>
          <t>prod-4</t>
        </is>
      </c>
      <c r="B5" s="6" t="inlineStr">
        <is>
          <t>Blusa Floral Primavera</t>
        </is>
      </c>
      <c r="C5" s="6" t="inlineStr">
        <is>
          <t>Ropa Femenina</t>
        </is>
      </c>
      <c r="D5" s="7" t="n">
        <v>12</v>
      </c>
      <c r="E5" s="7" t="n">
        <v>28</v>
      </c>
      <c r="F5" s="8" t="inlineStr">
        <is>
          <t>133%</t>
        </is>
      </c>
      <c r="G5" s="8" t="n">
        <v>3</v>
      </c>
      <c r="H5" s="8" t="n">
        <v>5</v>
      </c>
      <c r="I5" s="9" t="inlineStr">
        <is>
          <t>Stock Bajo</t>
        </is>
      </c>
      <c r="J5" s="7" t="n">
        <v>36</v>
      </c>
    </row>
    <row r="6">
      <c r="A6" s="2" t="inlineStr">
        <is>
          <t>prod-5</t>
        </is>
      </c>
      <c r="B6" s="2" t="inlineStr">
        <is>
          <t>Chaqueta Térmica Impermeable</t>
        </is>
      </c>
      <c r="C6" s="2" t="inlineStr">
        <is>
          <t>Ropa Masculina</t>
        </is>
      </c>
      <c r="D6" s="3" t="n">
        <v>35</v>
      </c>
      <c r="E6" s="3" t="n">
        <v>75</v>
      </c>
      <c r="F6" s="4" t="inlineStr">
        <is>
          <t>114%</t>
        </is>
      </c>
      <c r="G6" s="4" t="n">
        <v>8</v>
      </c>
      <c r="H6" s="4" t="n">
        <v>3</v>
      </c>
      <c r="I6" s="5" t="inlineStr">
        <is>
          <t>Saludable</t>
        </is>
      </c>
      <c r="J6" s="3" t="n">
        <v>280</v>
      </c>
    </row>
    <row r="7">
      <c r="A7" s="6" t="inlineStr">
        <is>
          <t>prod-6</t>
        </is>
      </c>
      <c r="B7" s="6" t="inlineStr">
        <is>
          <t>Zapatos Casuales de Cuero</t>
        </is>
      </c>
      <c r="C7" s="6" t="inlineStr">
        <is>
          <t>Calzado</t>
        </is>
      </c>
      <c r="D7" s="7" t="n">
        <v>30</v>
      </c>
      <c r="E7" s="7" t="n">
        <v>65</v>
      </c>
      <c r="F7" s="8" t="inlineStr">
        <is>
          <t>117%</t>
        </is>
      </c>
      <c r="G7" s="8" t="n">
        <v>12</v>
      </c>
      <c r="H7" s="8" t="n">
        <v>4</v>
      </c>
      <c r="I7" s="9" t="inlineStr">
        <is>
          <t>Saludable</t>
        </is>
      </c>
      <c r="J7" s="7" t="n">
        <v>360</v>
      </c>
    </row>
    <row r="8">
      <c r="A8" s="2" t="inlineStr">
        <is>
          <t>prod-7</t>
        </is>
      </c>
      <c r="B8" s="2" t="inlineStr">
        <is>
          <t>Cartera de Mano Cuero Sintético</t>
        </is>
      </c>
      <c r="C8" s="2" t="inlineStr">
        <is>
          <t>Accesorios</t>
        </is>
      </c>
      <c r="D8" s="3" t="n">
        <v>15</v>
      </c>
      <c r="E8" s="3" t="n">
        <v>35</v>
      </c>
      <c r="F8" s="4" t="inlineStr">
        <is>
          <t>133%</t>
        </is>
      </c>
      <c r="G8" s="4" t="n">
        <v>2</v>
      </c>
      <c r="H8" s="4" t="n">
        <v>3</v>
      </c>
      <c r="I8" s="5" t="inlineStr">
        <is>
          <t>Stock Bajo</t>
        </is>
      </c>
      <c r="J8" s="3" t="n">
        <v>30</v>
      </c>
    </row>
    <row r="9">
      <c r="A9" s="6" t="inlineStr">
        <is>
          <t>prod-8</t>
        </is>
      </c>
      <c r="B9" s="6" t="inlineStr">
        <is>
          <t>Pack Medias Deportivas (x3)</t>
        </is>
      </c>
      <c r="C9" s="6" t="inlineStr">
        <is>
          <t>Varios</t>
        </is>
      </c>
      <c r="D9" s="7" t="n">
        <v>3.5</v>
      </c>
      <c r="E9" s="7" t="n">
        <v>9</v>
      </c>
      <c r="F9" s="8" t="inlineStr">
        <is>
          <t>157%</t>
        </is>
      </c>
      <c r="G9" s="8" t="n">
        <v>50</v>
      </c>
      <c r="H9" s="8" t="n">
        <v>15</v>
      </c>
      <c r="I9" s="9" t="inlineStr">
        <is>
          <t>Saludable</t>
        </is>
      </c>
      <c r="J9" s="7" t="n">
        <v>175</v>
      </c>
    </row>
    <row r="10">
      <c r="A10" s="2" t="inlineStr">
        <is>
          <t>prod-9</t>
        </is>
      </c>
      <c r="B10" s="2" t="inlineStr">
        <is>
          <t>Bufanda Tejida Lana</t>
        </is>
      </c>
      <c r="C10" s="2" t="inlineStr">
        <is>
          <t>Accesorios</t>
        </is>
      </c>
      <c r="D10" s="3" t="n">
        <v>6</v>
      </c>
      <c r="E10" s="3" t="n">
        <v>15</v>
      </c>
      <c r="F10" s="4" t="inlineStr">
        <is>
          <t>150%</t>
        </is>
      </c>
      <c r="G10" s="4" t="n">
        <v>0</v>
      </c>
      <c r="H10" s="4" t="n">
        <v>3</v>
      </c>
      <c r="I10" s="5" t="inlineStr">
        <is>
          <t>Sin Stock</t>
        </is>
      </c>
      <c r="J10" s="3" t="n">
        <v>0</v>
      </c>
    </row>
    <row r="11">
      <c r="A11" s="6" t="inlineStr">
        <is>
          <t>prod-10</t>
        </is>
      </c>
      <c r="B11" s="6" t="inlineStr">
        <is>
          <t>Pantalón Corto Deportivo</t>
        </is>
      </c>
      <c r="C11" s="6" t="inlineStr">
        <is>
          <t>Ropa Masculina</t>
        </is>
      </c>
      <c r="D11" s="7" t="n">
        <v>10</v>
      </c>
      <c r="E11" s="7" t="n">
        <v>22</v>
      </c>
      <c r="F11" s="8" t="inlineStr">
        <is>
          <t>120%</t>
        </is>
      </c>
      <c r="G11" s="8" t="n">
        <v>22</v>
      </c>
      <c r="H11" s="8" t="n">
        <v>6</v>
      </c>
      <c r="I11" s="9" t="inlineStr">
        <is>
          <t>Saludable</t>
        </is>
      </c>
      <c r="J11" s="7" t="n">
        <v>220</v>
      </c>
    </row>
    <row r="12">
      <c r="A12" s="10" t="inlineStr">
        <is>
          <t>TOTALES</t>
        </is>
      </c>
      <c r="G12" s="11">
        <f>SUM(G2:G11)</f>
        <v/>
      </c>
      <c r="J12" s="12">
        <f>SUM(J2:J11)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8" customWidth="1" min="4" max="4"/>
    <col width="22" customWidth="1" min="5" max="5"/>
    <col width="14" customWidth="1" min="6" max="6"/>
    <col width="28" customWidth="1" min="7" max="7"/>
  </cols>
  <sheetData>
    <row r="1">
      <c r="A1" s="13" t="inlineStr">
        <is>
          <t>Fecha</t>
        </is>
      </c>
      <c r="B1" s="13" t="inlineStr">
        <is>
          <t>Mes</t>
        </is>
      </c>
      <c r="C1" s="13" t="inlineStr">
        <is>
          <t>Tipo</t>
        </is>
      </c>
      <c r="D1" s="13" t="inlineStr">
        <is>
          <t>Descripción</t>
        </is>
      </c>
      <c r="E1" s="13" t="inlineStr">
        <is>
          <t>Categoría</t>
        </is>
      </c>
      <c r="F1" s="13" t="inlineStr">
        <is>
          <t>Monto ($)</t>
        </is>
      </c>
      <c r="G1" s="13" t="inlineStr">
        <is>
          <t>Producto Relacionado</t>
        </is>
      </c>
    </row>
    <row r="2">
      <c r="A2" s="2" t="inlineStr">
        <is>
          <t>2023-01-01</t>
        </is>
      </c>
      <c r="B2" s="2" t="inlineStr">
        <is>
          <t>Enero</t>
        </is>
      </c>
      <c r="C2" s="14" t="inlineStr">
        <is>
          <t>Ingreso</t>
        </is>
      </c>
      <c r="D2" s="15" t="inlineStr">
        <is>
          <t>VENTA DE MERCANCIA</t>
        </is>
      </c>
      <c r="E2" s="2" t="inlineStr">
        <is>
          <t>Venta de Mercancía</t>
        </is>
      </c>
      <c r="F2" s="3" t="n">
        <v>1000</v>
      </c>
      <c r="G2" s="2" t="inlineStr">
        <is>
          <t>Jeans Slim Fit Masculino</t>
        </is>
      </c>
    </row>
    <row r="3">
      <c r="A3" s="6" t="inlineStr">
        <is>
          <t>2023-01-02</t>
        </is>
      </c>
      <c r="B3" s="6" t="inlineStr">
        <is>
          <t>Enero</t>
        </is>
      </c>
      <c r="C3" s="14" t="inlineStr">
        <is>
          <t>Ingreso</t>
        </is>
      </c>
      <c r="D3" s="16" t="inlineStr">
        <is>
          <t>VENTA DE MERCANCIA</t>
        </is>
      </c>
      <c r="E3" s="6" t="inlineStr">
        <is>
          <t>Venta de Mercancía</t>
        </is>
      </c>
      <c r="F3" s="7" t="n">
        <v>2000</v>
      </c>
      <c r="G3" s="6" t="inlineStr">
        <is>
          <t>Camiseta Básica de Algodón</t>
        </is>
      </c>
    </row>
    <row r="4">
      <c r="A4" s="2" t="inlineStr">
        <is>
          <t>2023-01-03</t>
        </is>
      </c>
      <c r="B4" s="2" t="inlineStr">
        <is>
          <t>Enero</t>
        </is>
      </c>
      <c r="C4" s="14" t="inlineStr">
        <is>
          <t>Ingreso</t>
        </is>
      </c>
      <c r="D4" s="15" t="inlineStr">
        <is>
          <t>VENTA DE MERCANCIA</t>
        </is>
      </c>
      <c r="E4" s="2" t="inlineStr">
        <is>
          <t>Venta de Mercancía</t>
        </is>
      </c>
      <c r="F4" s="3" t="n">
        <v>4000</v>
      </c>
      <c r="G4" s="2" t="inlineStr">
        <is>
          <t>Vestido Elegante de Gala Femenino</t>
        </is>
      </c>
    </row>
    <row r="5">
      <c r="A5" s="6" t="inlineStr">
        <is>
          <t>2023-01-01</t>
        </is>
      </c>
      <c r="B5" s="6" t="inlineStr">
        <is>
          <t>Enero</t>
        </is>
      </c>
      <c r="C5" s="17" t="inlineStr">
        <is>
          <t>Gasto</t>
        </is>
      </c>
      <c r="D5" s="16" t="inlineStr">
        <is>
          <t>PAGO DE INTERNET</t>
        </is>
      </c>
      <c r="E5" s="6" t="inlineStr">
        <is>
          <t>Pago de Internet</t>
        </is>
      </c>
      <c r="F5" s="7" t="n">
        <v>40</v>
      </c>
      <c r="G5" s="6" t="inlineStr"/>
    </row>
    <row r="6">
      <c r="A6" s="2" t="inlineStr">
        <is>
          <t>2023-01-01</t>
        </is>
      </c>
      <c r="B6" s="2" t="inlineStr">
        <is>
          <t>Enero</t>
        </is>
      </c>
      <c r="C6" s="17" t="inlineStr">
        <is>
          <t>Gasto</t>
        </is>
      </c>
      <c r="D6" s="15" t="inlineStr">
        <is>
          <t>PAGO INSUMOS</t>
        </is>
      </c>
      <c r="E6" s="2" t="inlineStr">
        <is>
          <t>Pago Insumos</t>
        </is>
      </c>
      <c r="F6" s="3" t="n">
        <v>20</v>
      </c>
      <c r="G6" s="2" t="inlineStr"/>
    </row>
    <row r="7">
      <c r="A7" s="6" t="inlineStr">
        <is>
          <t>2023-01-02</t>
        </is>
      </c>
      <c r="B7" s="6" t="inlineStr">
        <is>
          <t>Enero</t>
        </is>
      </c>
      <c r="C7" s="17" t="inlineStr">
        <is>
          <t>Gasto</t>
        </is>
      </c>
      <c r="D7" s="16" t="inlineStr">
        <is>
          <t>PAGO MATERIALES</t>
        </is>
      </c>
      <c r="E7" s="6" t="inlineStr">
        <is>
          <t>Pago Materiales</t>
        </is>
      </c>
      <c r="F7" s="7" t="n">
        <v>15</v>
      </c>
      <c r="G7" s="6" t="inlineStr"/>
    </row>
    <row r="8">
      <c r="A8" s="2" t="inlineStr">
        <is>
          <t>2023-01-03</t>
        </is>
      </c>
      <c r="B8" s="2" t="inlineStr">
        <is>
          <t>Enero</t>
        </is>
      </c>
      <c r="C8" s="17" t="inlineStr">
        <is>
          <t>Gasto</t>
        </is>
      </c>
      <c r="D8" s="15" t="inlineStr">
        <is>
          <t>PAGO PAPELERIA</t>
        </is>
      </c>
      <c r="E8" s="2" t="inlineStr">
        <is>
          <t>Pago Papelería</t>
        </is>
      </c>
      <c r="F8" s="3" t="n">
        <v>45</v>
      </c>
      <c r="G8" s="2" t="inlineStr"/>
    </row>
    <row r="9">
      <c r="A9" s="6" t="inlineStr">
        <is>
          <t>2023-02-04</t>
        </is>
      </c>
      <c r="B9" s="6" t="inlineStr">
        <is>
          <t>Febrero</t>
        </is>
      </c>
      <c r="C9" s="14" t="inlineStr">
        <is>
          <t>Ingreso</t>
        </is>
      </c>
      <c r="D9" s="16" t="inlineStr">
        <is>
          <t>VENTA DE MERCANCIA</t>
        </is>
      </c>
      <c r="E9" s="6" t="inlineStr">
        <is>
          <t>Venta de Mercancía</t>
        </is>
      </c>
      <c r="F9" s="7" t="n">
        <v>100</v>
      </c>
      <c r="G9" s="6" t="inlineStr">
        <is>
          <t>Zapatos Casuales de Cuero</t>
        </is>
      </c>
    </row>
    <row r="10">
      <c r="A10" s="2" t="inlineStr">
        <is>
          <t>2023-02-05</t>
        </is>
      </c>
      <c r="B10" s="2" t="inlineStr">
        <is>
          <t>Febrero</t>
        </is>
      </c>
      <c r="C10" s="14" t="inlineStr">
        <is>
          <t>Ingreso</t>
        </is>
      </c>
      <c r="D10" s="15" t="inlineStr">
        <is>
          <t>VENTA DE MERCANCIA</t>
        </is>
      </c>
      <c r="E10" s="2" t="inlineStr">
        <is>
          <t>Venta de Mercancía</t>
        </is>
      </c>
      <c r="F10" s="3" t="n">
        <v>200</v>
      </c>
      <c r="G10" s="2" t="inlineStr">
        <is>
          <t>Pantalón Corto Deportivo</t>
        </is>
      </c>
    </row>
    <row r="11">
      <c r="A11" s="6" t="inlineStr">
        <is>
          <t>2023-02-06</t>
        </is>
      </c>
      <c r="B11" s="6" t="inlineStr">
        <is>
          <t>Febrero</t>
        </is>
      </c>
      <c r="C11" s="14" t="inlineStr">
        <is>
          <t>Ingreso</t>
        </is>
      </c>
      <c r="D11" s="16" t="inlineStr">
        <is>
          <t>VENTA DE MERCANCIA</t>
        </is>
      </c>
      <c r="E11" s="6" t="inlineStr">
        <is>
          <t>Venta de Mercancía</t>
        </is>
      </c>
      <c r="F11" s="7" t="n">
        <v>300</v>
      </c>
      <c r="G11" s="6" t="inlineStr">
        <is>
          <t>Pack Medias Deportivas (x3)</t>
        </is>
      </c>
    </row>
    <row r="12">
      <c r="A12" s="2" t="inlineStr">
        <is>
          <t>2023-02-04</t>
        </is>
      </c>
      <c r="B12" s="2" t="inlineStr">
        <is>
          <t>Febrero</t>
        </is>
      </c>
      <c r="C12" s="17" t="inlineStr">
        <is>
          <t>Gasto</t>
        </is>
      </c>
      <c r="D12" s="15" t="inlineStr">
        <is>
          <t>PAGO ALMUERZO</t>
        </is>
      </c>
      <c r="E12" s="2" t="inlineStr">
        <is>
          <t>Pago Almuerzo</t>
        </is>
      </c>
      <c r="F12" s="3" t="n">
        <v>64</v>
      </c>
      <c r="G12" s="2" t="inlineStr"/>
    </row>
    <row r="13">
      <c r="A13" s="6" t="inlineStr">
        <is>
          <t>2023-02-05</t>
        </is>
      </c>
      <c r="B13" s="6" t="inlineStr">
        <is>
          <t>Febrero</t>
        </is>
      </c>
      <c r="C13" s="17" t="inlineStr">
        <is>
          <t>Gasto</t>
        </is>
      </c>
      <c r="D13" s="16" t="inlineStr">
        <is>
          <t>PAGO ARRIENDO</t>
        </is>
      </c>
      <c r="E13" s="6" t="inlineStr">
        <is>
          <t>Pago Arriendo</t>
        </is>
      </c>
      <c r="F13" s="7" t="n">
        <v>67</v>
      </c>
      <c r="G13" s="6" t="inlineStr"/>
    </row>
    <row r="14">
      <c r="A14" s="2" t="inlineStr">
        <is>
          <t>2023-02-06</t>
        </is>
      </c>
      <c r="B14" s="2" t="inlineStr">
        <is>
          <t>Febrero</t>
        </is>
      </c>
      <c r="C14" s="17" t="inlineStr">
        <is>
          <t>Gasto</t>
        </is>
      </c>
      <c r="D14" s="15" t="inlineStr">
        <is>
          <t>PAGO INSUMOS</t>
        </is>
      </c>
      <c r="E14" s="2" t="inlineStr">
        <is>
          <t>Pago Insumos</t>
        </is>
      </c>
      <c r="F14" s="3" t="n">
        <v>45</v>
      </c>
      <c r="G14" s="2" t="inlineStr"/>
    </row>
    <row r="15">
      <c r="A15" s="6" t="inlineStr">
        <is>
          <t>2023-03-07</t>
        </is>
      </c>
      <c r="B15" s="6" t="inlineStr">
        <is>
          <t>Marzo</t>
        </is>
      </c>
      <c r="C15" s="14" t="inlineStr">
        <is>
          <t>Ingreso</t>
        </is>
      </c>
      <c r="D15" s="16" t="inlineStr">
        <is>
          <t>VENTA DE MERCANCIA</t>
        </is>
      </c>
      <c r="E15" s="6" t="inlineStr">
        <is>
          <t>Venta de Mercancía</t>
        </is>
      </c>
      <c r="F15" s="7" t="n">
        <v>400</v>
      </c>
      <c r="G15" s="6" t="inlineStr">
        <is>
          <t>Chaqueta Térmica Impermeable</t>
        </is>
      </c>
    </row>
    <row r="16">
      <c r="A16" s="2" t="inlineStr">
        <is>
          <t>2023-03-08</t>
        </is>
      </c>
      <c r="B16" s="2" t="inlineStr">
        <is>
          <t>Marzo</t>
        </is>
      </c>
      <c r="C16" s="14" t="inlineStr">
        <is>
          <t>Ingreso</t>
        </is>
      </c>
      <c r="D16" s="15" t="inlineStr">
        <is>
          <t>VENTA DE MERCANCIA</t>
        </is>
      </c>
      <c r="E16" s="2" t="inlineStr">
        <is>
          <t>Venta de Mercancía</t>
        </is>
      </c>
      <c r="F16" s="3" t="n">
        <v>500</v>
      </c>
      <c r="G16" s="2" t="inlineStr">
        <is>
          <t>Cartera de Mano Cuero Sintético</t>
        </is>
      </c>
    </row>
    <row r="17">
      <c r="A17" s="6" t="inlineStr">
        <is>
          <t>2023-03-09</t>
        </is>
      </c>
      <c r="B17" s="6" t="inlineStr">
        <is>
          <t>Marzo</t>
        </is>
      </c>
      <c r="C17" s="14" t="inlineStr">
        <is>
          <t>Ingreso</t>
        </is>
      </c>
      <c r="D17" s="16" t="inlineStr">
        <is>
          <t>VENTA DE MERCANCIA</t>
        </is>
      </c>
      <c r="E17" s="6" t="inlineStr">
        <is>
          <t>Venta de Mercancía</t>
        </is>
      </c>
      <c r="F17" s="7" t="n">
        <v>600</v>
      </c>
      <c r="G17" s="6" t="inlineStr">
        <is>
          <t>Blusa Floral Primavera</t>
        </is>
      </c>
    </row>
    <row r="18">
      <c r="A18" s="2" t="inlineStr">
        <is>
          <t>2023-03-07</t>
        </is>
      </c>
      <c r="B18" s="2" t="inlineStr">
        <is>
          <t>Marzo</t>
        </is>
      </c>
      <c r="C18" s="17" t="inlineStr">
        <is>
          <t>Gasto</t>
        </is>
      </c>
      <c r="D18" s="15" t="inlineStr">
        <is>
          <t>OTROS GASTOS</t>
        </is>
      </c>
      <c r="E18" s="2" t="inlineStr">
        <is>
          <t>Otros Gastos</t>
        </is>
      </c>
      <c r="F18" s="3" t="n">
        <v>10</v>
      </c>
      <c r="G18" s="2" t="inlineStr"/>
    </row>
    <row r="19">
      <c r="A19" s="6" t="inlineStr">
        <is>
          <t>2023-03-08</t>
        </is>
      </c>
      <c r="B19" s="6" t="inlineStr">
        <is>
          <t>Marzo</t>
        </is>
      </c>
      <c r="C19" s="17" t="inlineStr">
        <is>
          <t>Gasto</t>
        </is>
      </c>
      <c r="D19" s="16" t="inlineStr">
        <is>
          <t>OTROS GASTOS</t>
        </is>
      </c>
      <c r="E19" s="6" t="inlineStr">
        <is>
          <t>Otros Gastos</t>
        </is>
      </c>
      <c r="F19" s="7" t="n">
        <v>56</v>
      </c>
      <c r="G19" s="6" t="inlineStr"/>
    </row>
    <row r="20">
      <c r="A20" s="2" t="inlineStr">
        <is>
          <t>2023-03-09</t>
        </is>
      </c>
      <c r="B20" s="2" t="inlineStr">
        <is>
          <t>Marzo</t>
        </is>
      </c>
      <c r="C20" s="17" t="inlineStr">
        <is>
          <t>Gasto</t>
        </is>
      </c>
      <c r="D20" s="15" t="inlineStr">
        <is>
          <t>OTROS GASTOS</t>
        </is>
      </c>
      <c r="E20" s="2" t="inlineStr">
        <is>
          <t>Otros Gastos</t>
        </is>
      </c>
      <c r="F20" s="3" t="n">
        <v>34</v>
      </c>
      <c r="G20" s="2" t="inlineStr"/>
    </row>
    <row r="21">
      <c r="A21" s="10" t="inlineStr">
        <is>
          <t>TOTALES</t>
        </is>
      </c>
      <c r="C21" s="18" t="inlineStr">
        <is>
          <t>Ingresos:</t>
        </is>
      </c>
      <c r="D21" s="19">
        <f>SUMIF(C2:C20,"Ingreso",F2:F20)</f>
        <v/>
      </c>
      <c r="F21" s="12">
        <f>SUM(F2:F20)</f>
        <v/>
      </c>
    </row>
    <row r="22">
      <c r="C22" s="20" t="inlineStr">
        <is>
          <t>Gastos:</t>
        </is>
      </c>
      <c r="D22" s="21">
        <f>SUMIF(C2:C20,"Gasto",F2:F20)</f>
        <v/>
      </c>
    </row>
    <row r="23">
      <c r="C23" s="10" t="inlineStr">
        <is>
          <t>Ganancia Neta:</t>
        </is>
      </c>
      <c r="D23" s="22">
        <f>D21-D22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23" t="inlineStr">
        <is>
          <t>RESUMEN FINANCIERO</t>
        </is>
      </c>
    </row>
    <row r="3">
      <c r="A3" s="24" t="inlineStr">
        <is>
          <t>Concepto</t>
        </is>
      </c>
      <c r="B3" s="24" t="inlineStr">
        <is>
          <t>Valor</t>
        </is>
      </c>
    </row>
    <row r="4">
      <c r="A4" s="16" t="inlineStr">
        <is>
          <t>Total Ingresos</t>
        </is>
      </c>
      <c r="B4" s="25">
        <f>Movimientos!D21</f>
        <v/>
      </c>
    </row>
    <row r="5">
      <c r="A5" s="16" t="inlineStr">
        <is>
          <t>Total Gastos</t>
        </is>
      </c>
      <c r="B5" s="25">
        <f>Movimientos!D22</f>
        <v/>
      </c>
    </row>
    <row r="6">
      <c r="A6" s="16" t="inlineStr">
        <is>
          <t>Ganancia Neta</t>
        </is>
      </c>
      <c r="B6" s="26">
        <f>Movimientos!D23</f>
        <v/>
      </c>
    </row>
    <row r="8">
      <c r="A8" s="16" t="inlineStr">
        <is>
          <t>Valor Inventario (costo)</t>
        </is>
      </c>
      <c r="B8" s="27">
        <f>Inventario!J11</f>
        <v/>
      </c>
    </row>
    <row r="9">
      <c r="A9" s="16" t="inlineStr">
        <is>
          <t>Total Productos en Stock</t>
        </is>
      </c>
      <c r="B9" s="25">
        <f>Inventario!G11</f>
        <v/>
      </c>
    </row>
    <row r="11">
      <c r="A11" s="16" t="inlineStr">
        <is>
          <t>Margen Promedio</t>
        </is>
      </c>
      <c r="B11" s="28">
        <f>PROMEDIO(Inventario!F2:F11)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2026-07-06T01:37:38Z</dcterms:created>
  <dcterms:modified xsi:type="dcterms:W3CDTF">2026-07-06T01:37:38Z</dcterms:modified>
</cp:coreProperties>
</file>